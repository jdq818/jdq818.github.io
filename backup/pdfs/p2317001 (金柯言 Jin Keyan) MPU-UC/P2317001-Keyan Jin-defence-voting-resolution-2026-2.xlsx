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verall Decision (UC)" sheetId="1" r:id="rId4"/>
    <sheet name="Overall Decision (MPU)" sheetId="2" r:id="rId5"/>
    <sheet name="Decision Statement" sheetId="3" r:id="rId6"/>
  </sheets>
  <definedNames>
    <definedName name="Accept">'Overall Decision (MPU)'!$B$15</definedName>
    <definedName name="Fail">'Overall Decision (MPU)'!$F$13</definedName>
    <definedName name="Fail_and_Revise">'Overall Decision (MPU)'!$B$18</definedName>
    <definedName name="Major_Revision">'Overall Decision (MPU)'!$E$13</definedName>
    <definedName name="Minor_Revision">'Overall Decision (MPU)'!$D$13</definedName>
    <definedName name="Pass">'Overall Decision (MPU)'!$C$13</definedName>
    <definedName name="Pass_and_Revise">'Overall Decision (MPU)'!$B$17</definedName>
    <definedName name="Reject">'Overall Decision (MPU)'!$B$16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<sst xmlns="http://schemas.openxmlformats.org/spreadsheetml/2006/main" uniqueCount="42">
  <si>
    <t>Thesis Defence Overall Decision for Qualitative Grading</t>
  </si>
  <si>
    <t>Distinction and Honours</t>
  </si>
  <si>
    <t>Distinction</t>
  </si>
  <si>
    <t>Approved</t>
  </si>
  <si>
    <t>Fail</t>
  </si>
  <si>
    <t>Chair</t>
  </si>
  <si>
    <t>Prof. Wei Ke</t>
  </si>
  <si>
    <t>Examiner</t>
  </si>
  <si>
    <t>Prof. Bo Liu</t>
  </si>
  <si>
    <t>Prof. Luísa Coheur</t>
  </si>
  <si>
    <t>Dr. Patrick Cheong Iao Pang</t>
  </si>
  <si>
    <t>Prof. Catarina Silva</t>
  </si>
  <si>
    <t>Supervisor</t>
  </si>
  <si>
    <t>Dr. Yapeng Wang</t>
  </si>
  <si>
    <t>Prof. Hugo Gonçalo Oliveira</t>
  </si>
  <si>
    <t>Total voting Result</t>
  </si>
  <si>
    <t>The secretary only needs to fill in the yellow area accroding to the "Internal Ballot Form for Qualitative Grading" with "X".</t>
  </si>
  <si>
    <t>Overall Decision</t>
  </si>
  <si>
    <t>Date</t>
  </si>
  <si>
    <t>Candidate</t>
  </si>
  <si>
    <t>Keyan Jin</t>
  </si>
  <si>
    <t>Thesis</t>
  </si>
  <si>
    <t>Improving the Reliability and Accuracy of Dialogue-Based Natural Language Generation</t>
  </si>
  <si>
    <t>Pass</t>
  </si>
  <si>
    <t>Minor Revision</t>
  </si>
  <si>
    <t>Major Revision</t>
  </si>
  <si>
    <t>Accept</t>
  </si>
  <si>
    <t>Reject</t>
  </si>
  <si>
    <t>Pass and Revise</t>
  </si>
  <si>
    <t>Fail and Revise</t>
  </si>
  <si>
    <t>(Revision checked by Panel)</t>
  </si>
  <si>
    <t>(Revision checked by Supervisor)</t>
  </si>
  <si>
    <t>The thesis and oral defence demonstrated
- a deep and thorough understanding of the research field,
- the originality and independence of the work,
- rigorous and outstanding argumentation,
- a comprehensive evaluation of the work within the field, and
- that all are in an integrated, coherent, and appropriate form.</t>
  </si>
  <si>
    <t>The thesis and oral defence demonstrated
- an in-depth understanding of the research field,
- the originality and independence of the work,
- solid and sound argumentation,
- a complete evaluation of the work within the field, and
- that major points are delivered in an integrated, coherent, and appropriate form.
However, there are still some minor weaknesses in the thesis.</t>
  </si>
  <si>
    <t>The thesis and oral defence showed
- an average understanding of the research field,
- the questionable originality of the work,
- merely justified argumentation,
- an incomplete evaluation of the work within the field, and
- that most major points are not well integrated.
There are some major weaknesses in the thesis.</t>
  </si>
  <si>
    <t>The thesis and oral defence did not effectively show
- an understanding of the research field,
- the originality of the work,
- sound argumentation,
- an evaluation of the work within the field, and
- that major points are integrated and coherent.
There are major flaws in the thesis and oral defence.</t>
  </si>
  <si>
    <t>Pass.</t>
  </si>
  <si>
    <t>Pass subject to minor modifications, and the revised thesis to be reviewed by the Supervisor.</t>
  </si>
  <si>
    <t>Pass subject to major revisions.</t>
  </si>
  <si>
    <t>Fail.</t>
  </si>
  <si>
    <t>Pass subject to minor modifications, and the revised thesis to be reviewed by the Panel.</t>
  </si>
  <si>
    <t>Thesis Defence Examination Final Resolution Statement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</si>
</sst>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新細明體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single"/>
      <sz val="12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8"/>
      <color rgb="FF000000"/>
      <name val="新細明體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E598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4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14" fillId="2" borderId="0" applyFont="1" applyNumberFormat="1" applyFill="0" applyBorder="0" applyAlignment="1">
      <alignment horizontal="right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>
      <alignment horizontal="general" vertical="bottom" textRotation="0" wrapText="false" shrinkToFit="false"/>
    </xf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top" textRotation="0" wrapText="false" shrinkToFit="false"/>
    </xf>
    <xf xfId="0" fontId="1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14" fillId="2" borderId="0" applyFont="1" applyNumberFormat="1" applyFill="0" applyBorder="0" applyAlignment="1">
      <alignment horizontal="general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2" applyFont="1" applyNumberFormat="0" applyFill="0" applyBorder="1" applyAlignment="1">
      <alignment horizontal="left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4" applyFont="1" applyNumberFormat="0" applyFill="0" applyBorder="1" applyAlignment="0">
      <alignment horizontal="general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4" borderId="6" applyFont="1" applyNumberFormat="0" applyFill="1" applyBorder="1" applyAlignment="1">
      <alignment horizontal="center" vertical="bottom" textRotation="0" wrapText="false" shrinkToFit="false"/>
    </xf>
    <xf xfId="0" fontId="1" numFmtId="0" fillId="4" borderId="6" applyFont="1" applyNumberFormat="0" applyFill="1" applyBorder="1" applyAlignment="1">
      <alignment horizontal="center" vertical="bottom" textRotation="0" wrapText="false" shrinkToFit="false"/>
    </xf>
    <xf xfId="0" fontId="2" numFmtId="0" fillId="2" borderId="7" applyFont="1" applyNumberFormat="0" applyFill="0" applyBorder="1" applyAlignment="1">
      <alignment horizontal="center" vertical="center" textRotation="0" wrapText="tru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5" borderId="4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6" borderId="0" applyFont="1" applyNumberFormat="0" applyFill="1" applyBorder="0" applyAlignment="0">
      <alignment horizontal="general" vertical="bottom" textRotation="0" wrapText="false" shrinkToFit="false"/>
    </xf>
    <xf xfId="0" fontId="1" numFmtId="0" fillId="6" borderId="0" applyFont="1" applyNumberFormat="0" applyFill="1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14" fillId="2" borderId="0" applyFont="1" applyNumberFormat="1" applyFill="0" applyBorder="0" applyAlignment="1">
      <alignment horizontal="general" vertical="center" textRotation="0" wrapText="false" shrinkToFit="false"/>
    </xf>
    <xf xfId="0" fontId="5" numFmtId="0" fillId="2" borderId="8" applyFont="1" applyNumberFormat="0" applyFill="0" applyBorder="1" applyAlignment="1">
      <alignment horizontal="general" vertical="center" textRotation="0" wrapText="true" shrinkToFit="false"/>
    </xf>
    <xf xfId="0" fontId="5" numFmtId="0" fillId="2" borderId="9" applyFont="1" applyNumberFormat="0" applyFill="0" applyBorder="1" applyAlignment="1">
      <alignment horizontal="general" vertical="center" textRotation="0" wrapText="true" shrinkToFit="false"/>
    </xf>
    <xf xfId="0" fontId="6" numFmtId="0" fillId="2" borderId="10" applyFont="1" applyNumberFormat="0" applyFill="0" applyBorder="1" applyAlignment="1">
      <alignment horizontal="general" vertical="center" textRotation="0" wrapText="true" shrinkToFit="false"/>
    </xf>
    <xf xfId="0" fontId="1" numFmtId="0" fillId="7" borderId="0" applyFont="1" applyNumberFormat="0" applyFill="1" applyBorder="0" applyAlignment="1">
      <alignment horizontal="general" vertical="bottom" textRotation="0" wrapText="true" shrinkToFit="false"/>
    </xf>
    <xf xfId="0" fontId="7" numFmtId="0" fillId="8" borderId="1" applyFont="1" applyNumberFormat="0" applyFill="1" applyBorder="1" applyAlignment="1">
      <alignment horizontal="general" vertical="bottom" textRotation="0" wrapText="true" shrinkToFit="false"/>
    </xf>
    <xf xfId="0" fontId="8" numFmtId="0" fillId="2" borderId="0" applyFont="1" applyNumberFormat="0" applyFill="0" applyBorder="0" applyAlignment="1">
      <alignment horizontal="general" vertical="center" textRotation="0" wrapText="false" shrinkToFit="false"/>
    </xf>
    <xf xfId="0" fontId="9" numFmtId="0" fillId="2" borderId="0" applyFont="1" applyNumberFormat="0" applyFill="0" applyBorder="0" applyAlignment="0">
      <alignment horizontal="general" vertical="bottom" textRotation="0" wrapText="false" shrinkToFit="false"/>
    </xf>
    <xf xfId="0" fontId="10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0" fillId="5" borderId="11" applyFont="1" applyNumberFormat="0" applyFill="1" applyBorder="1" applyAlignment="1">
      <alignment horizontal="center" vertical="bottom" textRotation="0" wrapText="false" shrinkToFit="false"/>
    </xf>
    <xf xfId="0" fontId="0" numFmtId="0" fillId="5" borderId="6" applyFont="0" applyNumberFormat="0" applyFill="1" applyBorder="1" applyAlignment="0">
      <alignment horizontal="general" vertical="bottom" textRotation="0" wrapText="false" shrinkToFit="false"/>
    </xf>
    <xf xfId="0" fontId="11" numFmtId="0" fillId="5" borderId="3" applyFont="1" applyNumberFormat="0" applyFill="1" applyBorder="1" applyAlignment="1">
      <alignment horizontal="center" vertical="center" textRotation="0" wrapText="false" shrinkToFit="false"/>
    </xf>
    <xf xfId="0" fontId="12" numFmtId="0" fillId="5" borderId="4" applyFont="1" applyNumberFormat="0" applyFill="1" applyBorder="1" applyAlignment="1">
      <alignment horizontal="center" vertical="center" textRotation="0" wrapText="false" shrinkToFit="false"/>
    </xf>
    <xf xfId="0" fontId="12" numFmtId="0" fillId="5" borderId="11" applyFont="1" applyNumberFormat="0" applyFill="1" applyBorder="1" applyAlignment="1">
      <alignment horizontal="center" vertical="center" textRotation="0" wrapText="false" shrinkToFit="false"/>
    </xf>
    <xf xfId="0" fontId="12" numFmtId="0" fillId="5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rogram_1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program_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5905500" cy="1066800"/>
    <xdr:pic>
      <xdr:nvPicPr>
        <xdr:cNvPr id="1" name="Program" descr="Progra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5905500" cy="1066800"/>
    <xdr:pic>
      <xdr:nvPicPr>
        <xdr:cNvPr id="1" name="Program" descr="Progra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10.85546875" customWidth="true" style="11"/>
    <col min="2" max="2" width="28.42578125" customWidth="true" style="11"/>
    <col min="3" max="3" width="14.85546875" customWidth="true" style="11"/>
    <col min="4" max="4" width="15.28515625" customWidth="true" style="11"/>
    <col min="5" max="5" width="15.85546875" customWidth="true" style="11"/>
    <col min="6" max="6" width="16.7109375" customWidth="true" style="12"/>
    <col min="7" max="7" width="9.140625" customWidth="true" style="12"/>
  </cols>
  <sheetData>
    <row r="1" spans="1:7" customHeight="1" ht="91.35">
      <c r="A1" s="13"/>
      <c r="B1" s="13"/>
      <c r="C1" s="13"/>
      <c r="D1" s="13"/>
      <c r="E1" s="13"/>
      <c r="F1" s="13"/>
    </row>
    <row r="2" spans="1:7" customHeight="1" ht="45.95">
      <c r="A2" s="38" t="s">
        <v>0</v>
      </c>
      <c r="B2" s="39"/>
      <c r="C2" s="39"/>
      <c r="D2" s="39"/>
      <c r="E2" s="39"/>
      <c r="F2" s="40"/>
    </row>
    <row r="3" spans="1:7">
      <c r="A3" s="13"/>
      <c r="B3" s="14">
        <v>46202</v>
      </c>
      <c r="C3" s="14"/>
      <c r="D3" s="14"/>
      <c r="E3" s="14"/>
      <c r="F3" s="13"/>
    </row>
    <row r="4" spans="1:7" customHeight="1" ht="16.5">
      <c r="A4" s="13"/>
      <c r="B4" s="14"/>
      <c r="C4" s="14"/>
      <c r="D4" s="14"/>
      <c r="E4" s="14"/>
      <c r="F4" s="13"/>
    </row>
    <row r="5" spans="1:7" customHeight="1" ht="38.25">
      <c r="A5" s="19"/>
      <c r="B5" s="20"/>
      <c r="C5" s="24" t="s">
        <v>1</v>
      </c>
      <c r="D5" s="25" t="s">
        <v>2</v>
      </c>
      <c r="E5" s="25" t="s">
        <v>3</v>
      </c>
      <c r="F5" s="25" t="s">
        <v>4</v>
      </c>
    </row>
    <row r="6" spans="1:7" customHeight="1" ht="16.5">
      <c r="A6" s="18" t="s">
        <v>5</v>
      </c>
      <c r="B6" s="17" t="s">
        <v>6</v>
      </c>
      <c r="C6" s="15"/>
      <c r="D6" s="15"/>
      <c r="E6" s="15"/>
      <c r="F6" s="21"/>
    </row>
    <row r="7" spans="1:7" customHeight="1" ht="16.5">
      <c r="A7" s="18" t="s">
        <v>7</v>
      </c>
      <c r="B7" s="17" t="s">
        <v>8</v>
      </c>
      <c r="C7" s="15"/>
      <c r="D7" s="15"/>
      <c r="E7" s="15"/>
      <c r="F7" s="21"/>
    </row>
    <row r="8" spans="1:7" customHeight="1" ht="16.5">
      <c r="A8" s="18" t="s">
        <v>7</v>
      </c>
      <c r="B8" s="17" t="s">
        <v>9</v>
      </c>
      <c r="C8" s="15"/>
      <c r="D8" s="15"/>
      <c r="E8" s="15"/>
      <c r="F8" s="21"/>
    </row>
    <row r="9" spans="1:7" customHeight="1" ht="16.5">
      <c r="A9" s="18" t="s">
        <v>7</v>
      </c>
      <c r="B9" s="16" t="s">
        <v>10</v>
      </c>
      <c r="C9" s="15"/>
      <c r="D9" s="15"/>
      <c r="E9" s="15"/>
      <c r="F9" s="21"/>
    </row>
    <row r="10" spans="1:7" customHeight="1" ht="16.5">
      <c r="A10" s="18" t="s">
        <v>7</v>
      </c>
      <c r="B10" s="17" t="s">
        <v>11</v>
      </c>
      <c r="C10" s="15"/>
      <c r="D10" s="15"/>
      <c r="E10" s="15"/>
      <c r="F10" s="21"/>
    </row>
    <row r="11" spans="1:7" customHeight="1" ht="16.5">
      <c r="A11" s="18" t="s">
        <v>12</v>
      </c>
      <c r="B11" s="17" t="s">
        <v>13</v>
      </c>
      <c r="C11" s="15"/>
      <c r="D11" s="15"/>
      <c r="E11" s="15"/>
      <c r="F11" s="21"/>
    </row>
    <row r="12" spans="1:7" customHeight="1" ht="16.5">
      <c r="A12" s="18" t="s">
        <v>12</v>
      </c>
      <c r="B12" s="16" t="s">
        <v>14</v>
      </c>
      <c r="C12" s="15"/>
      <c r="D12" s="15"/>
      <c r="E12" s="15"/>
      <c r="F12" s="21"/>
    </row>
    <row r="13" spans="1:7" customHeight="1" ht="19.5">
      <c r="A13" s="41" t="s">
        <v>15</v>
      </c>
      <c r="B13" s="42"/>
      <c r="C13" s="22" t="str">
        <f>COUNTIF(C6:C12,"X")</f>
        <v>0</v>
      </c>
      <c r="D13" s="22" t="str">
        <f>COUNTIF(D6:D12,"X")</f>
        <v>0</v>
      </c>
      <c r="E13" s="22" t="str">
        <f>COUNTIF(E6:E12,"X")</f>
        <v>0</v>
      </c>
      <c r="F13" s="22" t="str">
        <f>COUNTIF(F6:F12,"X")</f>
        <v>0</v>
      </c>
    </row>
    <row r="14" spans="1:7" customHeight="1" ht="16.5">
      <c r="A14" s="27" t="s">
        <v>16</v>
      </c>
      <c r="B14" s="13"/>
      <c r="C14" s="13"/>
      <c r="D14" s="13"/>
      <c r="E14" s="13"/>
      <c r="F14" s="13"/>
    </row>
    <row r="15" spans="1:7" customHeight="1" ht="16.5">
      <c r="A15" s="13"/>
      <c r="B15" s="13"/>
      <c r="C15" s="13"/>
      <c r="D15" s="13"/>
      <c r="E15" s="13"/>
      <c r="F15" s="13"/>
    </row>
    <row r="16" spans="1:7" customHeight="1" ht="38.25">
      <c r="A16" s="43" t="s">
        <v>17</v>
      </c>
      <c r="B16" s="44"/>
      <c r="C16" s="24" t="s">
        <v>1</v>
      </c>
      <c r="D16" s="25" t="s">
        <v>2</v>
      </c>
      <c r="E16" s="25" t="s">
        <v>3</v>
      </c>
      <c r="F16" s="26" t="s">
        <v>4</v>
      </c>
    </row>
    <row r="17" spans="1:7" customHeight="1" ht="21">
      <c r="A17" s="45"/>
      <c r="B17" s="46"/>
      <c r="C17" s="23" t="str">
        <f>IF(C13 &gt; 3.5,"X","")</f>
        <v>0</v>
      </c>
      <c r="D17" s="23" t="str">
        <f>IF(AND(C13 &lt; 3.5,C13+D13&gt;3.5),"X","")</f>
        <v>0</v>
      </c>
      <c r="E17" s="23" t="str">
        <f>IF(AND(F13 &lt; 3.5,F13+E13&gt;3.5),"X","")</f>
        <v>0</v>
      </c>
      <c r="F17" s="23" t="str">
        <f>IF(F13 &gt; 3.5,"X","")</f>
        <v>0</v>
      </c>
    </row>
    <row r="18" spans="1:7" customHeight="1" ht="15">
      <c r="A18" s="13"/>
      <c r="B18" s="13"/>
      <c r="C18" s="13"/>
      <c r="D18" s="13"/>
      <c r="E18" s="13"/>
      <c r="F18" s="13"/>
    </row>
    <row r="19" spans="1:7">
      <c r="A19" s="13"/>
      <c r="B19" s="13"/>
      <c r="C19" s="13"/>
      <c r="D19" s="13"/>
      <c r="E19" s="13"/>
      <c r="F19" s="13"/>
    </row>
    <row r="20" spans="1:7">
      <c r="A20" s="13"/>
      <c r="B20" s="13"/>
      <c r="C20" s="13"/>
      <c r="D20" s="13"/>
      <c r="E20" s="13"/>
      <c r="F20" s="13"/>
    </row>
    <row r="21" spans="1:7">
      <c r="A21" s="13"/>
      <c r="B21" s="13"/>
      <c r="C21" s="13"/>
      <c r="D21" s="13"/>
      <c r="E21" s="13"/>
      <c r="F21" s="13"/>
    </row>
    <row r="22" spans="1:7">
      <c r="A22" s="13"/>
      <c r="B22" s="13"/>
      <c r="C22" s="13"/>
      <c r="D22" s="13"/>
      <c r="E22" s="13"/>
      <c r="F22" s="13"/>
    </row>
    <row r="23" spans="1:7">
      <c r="A23" s="13"/>
      <c r="B23" s="13"/>
      <c r="C23" s="13"/>
      <c r="D23" s="13"/>
      <c r="E23" s="13"/>
      <c r="F23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F2"/>
    <mergeCell ref="A13:B13"/>
    <mergeCell ref="A16:B1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7"/>
  <sheetViews>
    <sheetView tabSelected="0" workbookViewId="0" showGridLines="true" showRowColHeaders="1">
      <selection activeCell="B2" sqref="B2"/>
    </sheetView>
  </sheetViews>
  <sheetFormatPr defaultRowHeight="14.4" outlineLevelRow="0" outlineLevelCol="0"/>
  <cols>
    <col min="1" max="1" width="14.5703125" customWidth="true" style="1"/>
    <col min="2" max="2" width="19.7109375" customWidth="true" style="1"/>
    <col min="3" max="3" width="9.140625" customWidth="true" style="1"/>
    <col min="4" max="4" width="9.140625" customWidth="true" style="1"/>
    <col min="5" max="5" width="9.140625" customWidth="true" style="1"/>
    <col min="6" max="6" width="9.140625" customWidth="true" style="1"/>
    <col min="7" max="7" width="9.140625" customWidth="true" style="1"/>
    <col min="8" max="8" width="32.7109375" customWidth="true" style="1"/>
    <col min="9" max="9" width="32.7109375" customWidth="true" style="1"/>
    <col min="10" max="10" width="32.7109375" customWidth="true" style="1"/>
    <col min="11" max="11" width="32.7109375" customWidth="true" style="1"/>
    <col min="12" max="12" width="9.140625" customWidth="true" style="1"/>
  </cols>
  <sheetData>
    <row r="1" spans="1:12">
      <c r="A1" s="1" t="s">
        <v>18</v>
      </c>
      <c r="B1" s="2">
        <v>46202</v>
      </c>
    </row>
    <row r="2" spans="1:12">
      <c r="A2" s="1" t="s">
        <v>19</v>
      </c>
      <c r="B2" s="3" t="s">
        <v>20</v>
      </c>
      <c r="C2" s="3"/>
    </row>
    <row r="3" spans="1:12" customHeight="1" ht="28.7">
      <c r="A3" s="1" t="s">
        <v>21</v>
      </c>
      <c r="B3" s="47" t="s">
        <v>22</v>
      </c>
      <c r="C3" s="47"/>
      <c r="D3" s="47"/>
      <c r="E3" s="47"/>
      <c r="F3" s="47"/>
    </row>
    <row r="5" spans="1:12" customHeight="1" ht="30">
      <c r="C5" s="4" t="s">
        <v>23</v>
      </c>
      <c r="D5" s="5" t="s">
        <v>24</v>
      </c>
      <c r="E5" s="5" t="s">
        <v>25</v>
      </c>
      <c r="F5" s="4" t="s">
        <v>4</v>
      </c>
    </row>
    <row r="6" spans="1:12">
      <c r="A6" s="3" t="s">
        <v>5</v>
      </c>
      <c r="B6" s="3" t="s">
        <v>6</v>
      </c>
      <c r="C6" s="6"/>
      <c r="D6" s="6"/>
      <c r="E6" s="6"/>
      <c r="F6" s="6"/>
    </row>
    <row r="7" spans="1:12">
      <c r="A7" s="3" t="s">
        <v>7</v>
      </c>
      <c r="B7" s="3" t="s">
        <v>8</v>
      </c>
      <c r="C7" s="6"/>
      <c r="D7" s="6"/>
      <c r="E7" s="6"/>
      <c r="F7" s="6"/>
    </row>
    <row r="8" spans="1:12">
      <c r="A8" s="3" t="s">
        <v>7</v>
      </c>
      <c r="B8" s="3" t="s">
        <v>9</v>
      </c>
      <c r="C8" s="6"/>
      <c r="D8" s="6"/>
      <c r="E8" s="6"/>
      <c r="F8" s="6"/>
    </row>
    <row r="9" spans="1:12">
      <c r="A9" s="3" t="s">
        <v>7</v>
      </c>
      <c r="B9" s="3" t="s">
        <v>10</v>
      </c>
      <c r="C9" s="6"/>
      <c r="D9" s="6"/>
      <c r="E9" s="6"/>
      <c r="F9" s="6"/>
    </row>
    <row r="10" spans="1:12">
      <c r="A10" s="3" t="s">
        <v>7</v>
      </c>
      <c r="B10" s="1" t="s">
        <v>11</v>
      </c>
      <c r="C10" s="6"/>
      <c r="D10" s="6"/>
      <c r="E10" s="6"/>
      <c r="F10" s="6"/>
    </row>
    <row r="11" spans="1:12">
      <c r="A11" s="3" t="s">
        <v>12</v>
      </c>
      <c r="B11" s="3" t="s">
        <v>13</v>
      </c>
      <c r="C11" s="6"/>
      <c r="D11" s="6"/>
      <c r="E11" s="6"/>
      <c r="F11" s="6"/>
    </row>
    <row r="12" spans="1:12">
      <c r="A12" s="3" t="s">
        <v>12</v>
      </c>
      <c r="B12" s="1" t="s">
        <v>14</v>
      </c>
      <c r="C12" s="6"/>
      <c r="D12" s="6"/>
      <c r="E12" s="6"/>
      <c r="F12" s="6"/>
    </row>
    <row r="13" spans="1:12">
      <c r="C13" s="1" t="str">
        <f>COUNTA(C6:C12)</f>
        <v>0</v>
      </c>
      <c r="D13" s="1" t="str">
        <f>COUNTA(D6:D12)</f>
        <v>0</v>
      </c>
      <c r="E13" s="1" t="str">
        <f>COUNTA(E6:E12)</f>
        <v>0</v>
      </c>
      <c r="F13" s="1" t="str">
        <f>COUNTA(F6:F12)</f>
        <v>0</v>
      </c>
    </row>
    <row r="15" spans="1:12">
      <c r="A15" s="1" t="s">
        <v>26</v>
      </c>
      <c r="B15" s="1" t="str">
        <f>C13+D13</f>
        <v>0</v>
      </c>
    </row>
    <row r="16" spans="1:12">
      <c r="A16" s="1" t="s">
        <v>27</v>
      </c>
      <c r="B16" s="1" t="str">
        <f>E13+F13</f>
        <v>0</v>
      </c>
    </row>
    <row r="17" spans="1:12">
      <c r="A17" s="1" t="s">
        <v>28</v>
      </c>
      <c r="B17" s="1" t="str">
        <f>SUM(D13:F13)</f>
        <v>0</v>
      </c>
    </row>
    <row r="18" spans="1:12">
      <c r="A18" s="1" t="s">
        <v>29</v>
      </c>
      <c r="B18" s="1" t="str">
        <f>SUM(C13:E13)</f>
        <v>0</v>
      </c>
    </row>
    <row r="20" spans="1:12">
      <c r="A20" s="7" t="s">
        <v>17</v>
      </c>
      <c r="B20" s="7"/>
      <c r="C20" s="8" t="str">
        <f>IF(AND(Accept&gt;Reject, Pass&gt;Pass_and_Revise), "X","")</f>
        <v>0</v>
      </c>
      <c r="D20" s="8" t="str">
        <f>IF(AND(Accept&gt;Reject, Pass&lt;Pass_and_Revise), "X","")</f>
        <v>0</v>
      </c>
      <c r="E20" s="8" t="str">
        <f>IF(AND(Accept&lt;Reject, Fail&lt;Fail_and_Revise), "X","")</f>
        <v>0</v>
      </c>
      <c r="F20" s="8" t="str">
        <f>IF(AND(Accept&lt;Reject, Fail&gt;Fail_and_Revise), "X","")</f>
        <v>0</v>
      </c>
    </row>
    <row r="21" spans="1:12" customHeight="1" ht="30">
      <c r="C21" s="9" t="s">
        <v>23</v>
      </c>
      <c r="D21" s="10" t="s">
        <v>24</v>
      </c>
      <c r="E21" s="10" t="s">
        <v>25</v>
      </c>
      <c r="F21" s="9" t="s">
        <v>4</v>
      </c>
    </row>
    <row r="22" spans="1:12">
      <c r="A22" s="28" t="s">
        <v>30</v>
      </c>
      <c r="B22" s="28"/>
      <c r="C22" s="11"/>
      <c r="D22" s="29"/>
      <c r="E22" s="11"/>
      <c r="F22" s="11"/>
    </row>
    <row r="23" spans="1:12">
      <c r="A23" s="28" t="s">
        <v>31</v>
      </c>
      <c r="B23" s="28"/>
      <c r="C23" s="11"/>
      <c r="D23" s="29"/>
      <c r="E23" s="11"/>
      <c r="F23" s="11"/>
    </row>
    <row r="24" spans="1:12" customHeight="1" ht="179.25" s="12" customFormat="1">
      <c r="A24" s="11"/>
      <c r="B24" s="11"/>
      <c r="C24" s="11"/>
      <c r="D24" s="11"/>
      <c r="E24" s="11"/>
      <c r="F24" s="11"/>
      <c r="G24" s="11"/>
      <c r="H24" s="36" t="s">
        <v>32</v>
      </c>
      <c r="I24" s="36" t="s">
        <v>33</v>
      </c>
      <c r="J24" s="36" t="s">
        <v>34</v>
      </c>
      <c r="K24" s="36" t="s">
        <v>35</v>
      </c>
      <c r="L24" s="11"/>
    </row>
    <row r="26" spans="1:12" customHeight="1" ht="45" s="12" customFormat="1">
      <c r="A26" s="11"/>
      <c r="B26" s="11"/>
      <c r="C26" s="11"/>
      <c r="D26" s="11"/>
      <c r="E26" s="11"/>
      <c r="F26" s="11"/>
      <c r="G26" s="11"/>
      <c r="H26" s="35" t="s">
        <v>36</v>
      </c>
      <c r="I26" s="35" t="s">
        <v>37</v>
      </c>
      <c r="J26" s="35" t="s">
        <v>38</v>
      </c>
      <c r="K26" s="35" t="s">
        <v>39</v>
      </c>
      <c r="L26" s="11"/>
    </row>
    <row r="27" spans="1:12" customHeight="1" ht="45" s="12" customFormat="1">
      <c r="A27" s="11"/>
      <c r="B27" s="11"/>
      <c r="C27" s="11"/>
      <c r="D27" s="11"/>
      <c r="E27" s="11"/>
      <c r="F27" s="11"/>
      <c r="G27" s="11"/>
      <c r="H27" s="11"/>
      <c r="I27" s="35" t="s">
        <v>40</v>
      </c>
      <c r="J27" s="11"/>
      <c r="K27" s="11"/>
      <c r="L27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F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8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9.140625" customWidth="true" style="11"/>
    <col min="2" max="2" width="76" customWidth="true" style="11"/>
    <col min="3" max="3" width="9.140625" customWidth="true" style="11"/>
    <col min="4" max="4" width="9.140625" customWidth="true" style="12"/>
  </cols>
  <sheetData>
    <row r="1" spans="1:7" customHeight="1" ht="91.35">
      <c r="B1" s="11"/>
    </row>
    <row r="2" spans="1:7" customHeight="1" ht="45.95">
      <c r="B2" s="30" t="s">
        <v>41</v>
      </c>
      <c r="C2" s="37"/>
      <c r="D2" s="37"/>
      <c r="E2" s="37"/>
      <c r="F2" s="37"/>
      <c r="G2" s="37"/>
    </row>
    <row r="3" spans="1:7" customHeight="1" ht="15.75">
      <c r="B3" s="31" t="str">
        <f>'Overall Decision (MPU)'!B1</f>
        <v>0</v>
      </c>
      <c r="C3" s="37"/>
      <c r="D3" s="37"/>
      <c r="E3" s="37"/>
      <c r="F3" s="37"/>
      <c r="G3" s="37"/>
    </row>
    <row r="4" spans="1:7" customHeight="1" ht="16.5">
      <c r="B4" s="31"/>
      <c r="C4" s="37"/>
      <c r="D4" s="37"/>
      <c r="E4" s="37"/>
      <c r="F4" s="37"/>
      <c r="G4" s="37"/>
    </row>
    <row r="5" spans="1:7" customHeight="1" ht="120">
      <c r="B5" s="32" t="str">
        <f> "Based on " &amp; 'Overall Decision (MPU)'!C2 &amp; " " &amp; 'Overall Decision (MPU)'!B2 &amp; "'s thesis titled: """ &amp; 'Overall Decision (MPU)'!B3 &amp; """, and the oral defence, combining the votes of the individual panel members, the panel concludes that:"</f>
        <v>0</v>
      </c>
    </row>
    <row r="6" spans="1:7" customHeight="1" ht="180">
      <c r="B6" s="33" t="str">
        <f>IF('Overall Decision (MPU)'!C20&lt;&gt;"",'Overall Decision (MPU)'!H24,IF('Overall Decision (MPU)'!D20&lt;&gt;"",'Overall Decision (MPU)'!I24,IF('Overall Decision (MPU)'!E20&lt;&gt;"",'Overall Decision (MPU)'!J24,'Overall Decision (MPU)'!K24)))</f>
        <v>0</v>
      </c>
    </row>
    <row r="7" spans="1:7" customHeight="1" ht="50.1">
      <c r="B7" s="33" t="str">
        <f>"Therefore, regarding " &amp; 'Overall Decision (MPU)'!C2 &amp; " " &amp; 'Overall Decision (MPU)'!B2 &amp; "'s thesis defence examination, the panel has reached the final resolution of:"</f>
        <v>0</v>
      </c>
    </row>
    <row r="8" spans="1:7" customHeight="1" ht="60">
      <c r="B8" s="34" t="str">
        <f>IF('Overall Decision (MPU)'!C20&lt;&gt;"",'Overall Decision (MPU)'!H26,IF('Overall Decision (MPU)'!D20&lt;&gt;"",IF('Overall Decision (MPU)'!D22&lt;&gt;"",'Overall Decision (MPU)'!I27,'Overall Decision (MPU)'!I26),IF('Overall Decision (MPU)'!E20&lt;&gt;"",'Overall Decision (MPU)'!J26,'Overall Decision (MPU)'!K26)))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Decision (UC)</vt:lpstr>
      <vt:lpstr>Overall Decision (MPU)</vt:lpstr>
      <vt:lpstr>Decision Statement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Smarttou Cheok</dc:creator>
  <cp:lastModifiedBy>Smarttou Cheok</cp:lastModifiedBy>
  <dcterms:created xsi:type="dcterms:W3CDTF">2023-02-06T20:23:05+08:00</dcterms:created>
  <dcterms:modified xsi:type="dcterms:W3CDTF">2026-04-20T17:38:17+08:00</dcterms:modified>
  <dc:title>Defence Voting Resolution</dc:title>
  <dc:description/>
  <dc:subject/>
  <cp:keywords/>
  <cp:category/>
</cp:coreProperties>
</file>