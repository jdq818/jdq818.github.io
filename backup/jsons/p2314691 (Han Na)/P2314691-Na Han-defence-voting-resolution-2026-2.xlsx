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verall Decision" sheetId="1" r:id="rId4"/>
    <sheet name="Decision Statement" sheetId="2" r:id="rId5"/>
  </sheets>
  <definedNames>
    <definedName name="Accept">'Overall Decision'!$B$13</definedName>
    <definedName name="Fail">'Overall Decision'!$F$11</definedName>
    <definedName name="Fail_and_Revise">'Overall Decision'!$B$16</definedName>
    <definedName name="Major_Revision">'Overall Decision'!$E$11</definedName>
    <definedName name="Minor_Revision">'Overall Decision'!$D$11</definedName>
    <definedName name="Pass">'Overall Decision'!$C$11</definedName>
    <definedName name="Pass_and_Revise">'Overall Decision'!$B$15</definedName>
    <definedName name="Reject">'Overall Decision'!$B$14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<sst xmlns="http://schemas.openxmlformats.org/spreadsheetml/2006/main" uniqueCount="34">
  <si>
    <t>Date</t>
  </si>
  <si>
    <t>Candidate</t>
  </si>
  <si>
    <t>Na Han</t>
  </si>
  <si>
    <t>Thesis</t>
  </si>
  <si>
    <t>Research on an Early Intelligent Auxiliary Diagnosis System for Multiple Cancers in Chest CT Based on Deep Learning: Longitudinal Risk Assessment of Pulmonary Nodules and Small Sample Thyroid Cancer Screening</t>
  </si>
  <si>
    <t>Pass</t>
  </si>
  <si>
    <t>Minor Revision</t>
  </si>
  <si>
    <t>Major Revision</t>
  </si>
  <si>
    <t>Fail</t>
  </si>
  <si>
    <t>Chair</t>
  </si>
  <si>
    <t>Prof. Lin Chen</t>
  </si>
  <si>
    <t>Examiner</t>
  </si>
  <si>
    <t>Prof. Yanwei Chen</t>
  </si>
  <si>
    <t>Dr. Hong Lin</t>
  </si>
  <si>
    <t>Qiu Huang</t>
  </si>
  <si>
    <t>Supervisor</t>
  </si>
  <si>
    <t>Dr. Yapeng Wang</t>
  </si>
  <si>
    <t>Accept</t>
  </si>
  <si>
    <t>Reject</t>
  </si>
  <si>
    <t>Pass and Revise</t>
  </si>
  <si>
    <t>Fail and Revise</t>
  </si>
  <si>
    <t>Overall Decision</t>
  </si>
  <si>
    <t>(Revision checked by Panel)</t>
  </si>
  <si>
    <t>(Revision checked by Supervisor)</t>
  </si>
  <si>
    <t>The thesis and oral defence demonstrated
- a deep and thorough understanding of the research field,
- the originality and independence of the work,
- rigorous and outstanding argumentation,
- a comprehensive evaluation of the work within the field, and
- that all are in an integrated, coherent, and appropriate form.</t>
  </si>
  <si>
    <t>The thesis and oral defence demonstrated
- an in-depth understanding of the research field,
- the originality and independence of the work,
- solid and sound argumentation,
- a complete evaluation of the work within the field, and
- that major points are delivered in an integrated, coherent, and appropriate form.
However, there are still some minor weaknesses in the thesis.</t>
  </si>
  <si>
    <t>The thesis and oral defence showed
- an average understanding of the research field,
- the questionable originality of the work,
- merely justified argumentation,
- an incomplete evaluation of the work within the field, and
- that most major points are not well integrated.
There are some major weaknesses in the thesis.</t>
  </si>
  <si>
    <t>The thesis and oral defence did not effectively show
- an understanding of the research field,
- the originality of the work,
- sound argumentation,
- an evaluation of the work within the field, and
- that major points are integrated and coherent.
There are major flaws in the thesis and oral defence.</t>
  </si>
  <si>
    <t>Pass.</t>
  </si>
  <si>
    <t>Pass subject to minor modifications, and the revised thesis to be reviewed by the Supervisor.</t>
  </si>
  <si>
    <t>Pass subject to major revisions.</t>
  </si>
  <si>
    <t>Fail.</t>
  </si>
  <si>
    <t>Pass subject to minor modifications, and the revised thesis to be reviewed by the Panel.</t>
  </si>
  <si>
    <t>Thesis Defence Examination Final Resolution Statement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</si>
</sst>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新細明體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singl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4"/>
      <color rgb="FF000000"/>
      <name val="Calibri"/>
    </font>
    <font>
      <b val="1"/>
      <i val="0"/>
      <strike val="0"/>
      <u val="single"/>
      <sz val="14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E598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FFFD965"/>
        <bgColor rgb="FFFFFFFF"/>
      </patternFill>
    </fill>
    <fill>
      <patternFill patternType="solid">
        <fgColor rgb="FFFFC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2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14" fillId="2" borderId="0" applyFont="1" applyNumberFormat="1" applyFill="0" applyBorder="0" applyAlignment="1">
      <alignment horizontal="right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tru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top" textRotation="0" wrapText="false" shrinkToFit="false"/>
    </xf>
    <xf xfId="0" fontId="1" numFmtId="0" fillId="2" borderId="1" applyFont="1" applyNumberFormat="0" applyFill="0" applyBorder="1" applyAlignment="1">
      <alignment horizontal="center" vertical="top" textRotation="0" wrapText="true" shrinkToFit="false"/>
    </xf>
    <xf xfId="0" fontId="3" numFmtId="0" fillId="5" borderId="1" applyFont="1" applyNumberFormat="0" applyFill="1" applyBorder="1" applyAlignment="1">
      <alignment horizontal="general" vertical="bottom" textRotation="0" wrapText="true" shrinkToFit="false"/>
    </xf>
    <xf xfId="0" fontId="1" numFmtId="0" fillId="6" borderId="0" applyFont="1" applyNumberFormat="0" applyFill="1" applyBorder="0" applyAlignment="1">
      <alignment horizontal="general" vertical="bottom" textRotation="0" wrapText="true" shrinkToFit="false"/>
    </xf>
    <xf xfId="0" fontId="4" numFmtId="0" fillId="2" borderId="0" applyFont="1" applyNumberFormat="0" applyFill="0" applyBorder="0" applyAlignment="1">
      <alignment horizontal="general" vertical="center" textRotation="0" wrapText="false" shrinkToFit="false"/>
    </xf>
    <xf xfId="0" fontId="5" numFmtId="0" fillId="2" borderId="0" applyFont="1" applyNumberFormat="0" applyFill="0" applyBorder="0" applyAlignment="1">
      <alignment horizontal="general" vertical="center" textRotation="0" wrapText="false" shrinkToFit="false"/>
    </xf>
    <xf xfId="0" fontId="4" numFmtId="14" fillId="2" borderId="0" applyFont="1" applyNumberFormat="1" applyFill="0" applyBorder="0" applyAlignment="1">
      <alignment horizontal="general" vertical="center" textRotation="0" wrapText="false" shrinkToFit="false"/>
    </xf>
    <xf xfId="0" fontId="6" numFmtId="0" fillId="2" borderId="2" applyFont="1" applyNumberFormat="0" applyFill="0" applyBorder="1" applyAlignment="1">
      <alignment horizontal="general" vertical="center" textRotation="0" wrapText="true" shrinkToFit="false"/>
    </xf>
    <xf xfId="0" fontId="6" numFmtId="0" fillId="2" borderId="3" applyFont="1" applyNumberFormat="0" applyFill="0" applyBorder="1" applyAlignment="1">
      <alignment horizontal="general" vertical="center" textRotation="0" wrapText="true" shrinkToFit="false"/>
    </xf>
    <xf xfId="0" fontId="7" numFmtId="0" fillId="2" borderId="4" applyFont="1" applyNumberFormat="0" applyFill="0" applyBorder="1" applyAlignment="1">
      <alignment horizontal="general" vertical="center" textRotation="0" wrapText="true" shrinkToFit="false"/>
    </xf>
    <xf xfId="0" fontId="1" numFmtId="0" fillId="7" borderId="0" applyFont="1" applyNumberFormat="0" applyFill="1" applyBorder="0" applyAlignment="1">
      <alignment horizontal="general" vertical="center" textRotation="0" wrapText="false" shrinkToFit="false"/>
    </xf>
    <xf xfId="0" fontId="1" numFmtId="0" fillId="7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program_11.png"/></Relationships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5905500" cy="1066800"/>
    <xdr:pic>
      <xdr:nvPicPr>
        <xdr:cNvPr id="1" name="Program" descr="Program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25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14.5703125" customWidth="true" style="1"/>
    <col min="2" max="2" width="25.140625" customWidth="true" style="1"/>
    <col min="3" max="3" width="9.140625" customWidth="true" style="1"/>
    <col min="4" max="4" width="9.140625" customWidth="true" style="1"/>
    <col min="5" max="5" width="9.140625" customWidth="true" style="1"/>
    <col min="6" max="6" width="9.140625" customWidth="true" style="1"/>
    <col min="7" max="7" width="9.140625" customWidth="true" style="1"/>
    <col min="8" max="8" width="32.7109375" customWidth="true" style="1"/>
    <col min="9" max="9" width="32.7109375" customWidth="true" style="1"/>
    <col min="10" max="10" width="32.7109375" customWidth="true" style="1"/>
    <col min="11" max="11" width="32.7109375" customWidth="true" style="1"/>
    <col min="12" max="12" width="9.140625" customWidth="true" style="1"/>
  </cols>
  <sheetData>
    <row r="1" spans="1:12">
      <c r="A1" s="1" t="s">
        <v>0</v>
      </c>
      <c r="B1" s="2">
        <v>46212</v>
      </c>
    </row>
    <row r="2" spans="1:12">
      <c r="A2" s="1" t="s">
        <v>1</v>
      </c>
      <c r="B2" s="3" t="s">
        <v>2</v>
      </c>
      <c r="C2" s="3"/>
    </row>
    <row r="3" spans="1:12" customHeight="1" ht="28.7">
      <c r="A3" s="1" t="s">
        <v>3</v>
      </c>
      <c r="B3" s="22" t="s">
        <v>4</v>
      </c>
      <c r="C3" s="22"/>
      <c r="D3" s="22"/>
      <c r="E3" s="22"/>
      <c r="F3" s="22"/>
    </row>
    <row r="5" spans="1:12" customHeight="1" ht="30">
      <c r="C5" s="4" t="s">
        <v>5</v>
      </c>
      <c r="D5" s="5" t="s">
        <v>6</v>
      </c>
      <c r="E5" s="5" t="s">
        <v>7</v>
      </c>
      <c r="F5" s="4" t="s">
        <v>8</v>
      </c>
    </row>
    <row r="6" spans="1:12">
      <c r="A6" s="3" t="s">
        <v>9</v>
      </c>
      <c r="B6" s="3" t="s">
        <v>10</v>
      </c>
      <c r="C6" s="6"/>
      <c r="D6" s="6"/>
      <c r="E6" s="6"/>
      <c r="F6" s="6"/>
    </row>
    <row r="7" spans="1:12">
      <c r="A7" s="3" t="s">
        <v>11</v>
      </c>
      <c r="B7" s="3" t="s">
        <v>12</v>
      </c>
      <c r="C7" s="6"/>
      <c r="D7" s="6"/>
      <c r="E7" s="6"/>
      <c r="F7" s="6"/>
    </row>
    <row r="8" spans="1:12">
      <c r="A8" s="3" t="s">
        <v>11</v>
      </c>
      <c r="B8" s="3" t="s">
        <v>13</v>
      </c>
      <c r="C8" s="6"/>
      <c r="D8" s="6"/>
      <c r="E8" s="6"/>
      <c r="F8" s="6"/>
    </row>
    <row r="9" spans="1:12">
      <c r="A9" s="3" t="s">
        <v>11</v>
      </c>
      <c r="B9" s="3" t="s">
        <v>14</v>
      </c>
      <c r="C9" s="6"/>
      <c r="D9" s="6"/>
      <c r="E9" s="6"/>
      <c r="F9" s="6"/>
    </row>
    <row r="10" spans="1:12">
      <c r="A10" s="3" t="s">
        <v>15</v>
      </c>
      <c r="B10" s="3" t="s">
        <v>16</v>
      </c>
      <c r="C10" s="6"/>
      <c r="D10" s="6"/>
      <c r="E10" s="6"/>
      <c r="F10" s="6"/>
    </row>
    <row r="11" spans="1:12">
      <c r="C11" s="1" t="str">
        <f>COUNTA(C6:C10)</f>
        <v>0</v>
      </c>
      <c r="D11" s="1" t="str">
        <f>COUNTA(D6:D10)</f>
        <v>0</v>
      </c>
      <c r="E11" s="1" t="str">
        <f>COUNTA(E6:E10)</f>
        <v>0</v>
      </c>
      <c r="F11" s="1" t="str">
        <f>COUNTA(F6:F10)</f>
        <v>0</v>
      </c>
    </row>
    <row r="13" spans="1:12">
      <c r="A13" s="1" t="s">
        <v>17</v>
      </c>
      <c r="B13" s="1" t="str">
        <f>C11+D11</f>
        <v>0</v>
      </c>
    </row>
    <row r="14" spans="1:12">
      <c r="A14" s="1" t="s">
        <v>18</v>
      </c>
      <c r="B14" s="1" t="str">
        <f>E11+F11</f>
        <v>0</v>
      </c>
    </row>
    <row r="15" spans="1:12">
      <c r="A15" s="1" t="s">
        <v>19</v>
      </c>
      <c r="B15" s="1" t="str">
        <f>SUM(D11:F11)</f>
        <v>0</v>
      </c>
    </row>
    <row r="16" spans="1:12">
      <c r="A16" s="1" t="s">
        <v>20</v>
      </c>
      <c r="B16" s="1" t="str">
        <f>SUM(C11:E11)</f>
        <v>0</v>
      </c>
    </row>
    <row r="18" spans="1:12">
      <c r="A18" s="7" t="s">
        <v>21</v>
      </c>
      <c r="B18" s="7"/>
      <c r="C18" s="8" t="str">
        <f>IF(AND(Accept&gt;Reject, Pass&gt;Pass_and_Revise), "X","")</f>
        <v>0</v>
      </c>
      <c r="D18" s="8" t="str">
        <f>IF(AND(Accept&gt;Reject, Pass&lt;Pass_and_Revise), "X","")</f>
        <v>0</v>
      </c>
      <c r="E18" s="8" t="str">
        <f>IF(AND(Accept&lt;Reject, Fail&lt;Fail_and_Revise), "X","")</f>
        <v>0</v>
      </c>
      <c r="F18" s="8" t="str">
        <f>IF(AND(Accept&lt;Reject, Fail&gt;Fail_and_Revise), "X","")</f>
        <v>0</v>
      </c>
    </row>
    <row r="19" spans="1:12" customHeight="1" ht="30">
      <c r="C19" s="9" t="s">
        <v>5</v>
      </c>
      <c r="D19" s="10" t="s">
        <v>6</v>
      </c>
      <c r="E19" s="10" t="s">
        <v>7</v>
      </c>
      <c r="F19" s="9" t="s">
        <v>8</v>
      </c>
    </row>
    <row r="20" spans="1:12">
      <c r="A20" s="20" t="s">
        <v>22</v>
      </c>
      <c r="B20" s="20"/>
      <c r="C20" s="21"/>
      <c r="D20" s="19"/>
      <c r="E20" s="21"/>
      <c r="F20" s="21"/>
    </row>
    <row r="21" spans="1:12">
      <c r="A21" s="20" t="s">
        <v>23</v>
      </c>
      <c r="B21" s="20"/>
      <c r="C21" s="21"/>
      <c r="D21" s="19"/>
      <c r="E21" s="21"/>
      <c r="F21" s="21"/>
    </row>
    <row r="22" spans="1:12" customHeight="1" ht="179.25">
      <c r="H22" s="11" t="s">
        <v>24</v>
      </c>
      <c r="I22" s="11" t="s">
        <v>25</v>
      </c>
      <c r="J22" s="11" t="s">
        <v>26</v>
      </c>
      <c r="K22" s="11" t="s">
        <v>27</v>
      </c>
    </row>
    <row r="24" spans="1:12" customHeight="1" ht="45">
      <c r="H24" s="12" t="s">
        <v>28</v>
      </c>
      <c r="I24" s="12" t="s">
        <v>29</v>
      </c>
      <c r="J24" s="12" t="s">
        <v>30</v>
      </c>
      <c r="K24" s="12" t="s">
        <v>31</v>
      </c>
    </row>
    <row r="25" spans="1:12" customHeight="1" ht="45">
      <c r="I25" s="12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F3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8"/>
  <sheetViews>
    <sheetView tabSelected="0" workbookViewId="0" showGridLines="true" showRowColHeaders="1">
      <selection activeCell="B1" sqref="B1"/>
    </sheetView>
  </sheetViews>
  <sheetFormatPr defaultRowHeight="14.4" outlineLevelRow="0" outlineLevelCol="0"/>
  <cols>
    <col min="1" max="1" width="9.140625" customWidth="true" style="1"/>
    <col min="2" max="2" width="76" customWidth="true" style="1"/>
    <col min="3" max="3" width="9.140625" customWidth="true" style="1"/>
  </cols>
  <sheetData>
    <row r="1" spans="1:7" customHeight="1" ht="91.35">
      <c r="B1" s="1"/>
    </row>
    <row r="2" spans="1:7" customHeight="1" ht="45.95">
      <c r="B2" s="13" t="s">
        <v>33</v>
      </c>
      <c r="C2" s="14"/>
      <c r="D2" s="14"/>
      <c r="E2" s="14"/>
      <c r="F2" s="14"/>
      <c r="G2" s="14"/>
    </row>
    <row r="3" spans="1:7" customHeight="1" ht="15.75">
      <c r="B3" s="15" t="str">
        <f>'Overall Decision'!B1</f>
        <v>0</v>
      </c>
      <c r="C3" s="14"/>
      <c r="D3" s="14"/>
      <c r="E3" s="14"/>
      <c r="F3" s="14"/>
      <c r="G3" s="14"/>
    </row>
    <row r="4" spans="1:7" customHeight="1" ht="16.5">
      <c r="B4" s="15"/>
      <c r="C4" s="14"/>
      <c r="D4" s="14"/>
      <c r="E4" s="14"/>
      <c r="F4" s="14"/>
      <c r="G4" s="14"/>
    </row>
    <row r="5" spans="1:7" customHeight="1" ht="120">
      <c r="B5" s="16" t="str">
        <f> "Based on " &amp; 'Overall Decision'!C2 &amp; " " &amp; 'Overall Decision'!B2 &amp; "'s thesis titled: """ &amp; 'Overall Decision'!B3 &amp; """, and the oral defence, combining the votes of the individual panel members, the panel concludes that:"</f>
        <v>0</v>
      </c>
    </row>
    <row r="6" spans="1:7" customHeight="1" ht="180">
      <c r="B6" s="17" t="str">
        <f>IF('Overall Decision'!C18&lt;&gt;"",'Overall Decision'!H22,IF('Overall Decision'!D18&lt;&gt;"",'Overall Decision'!I22,IF('Overall Decision'!E18&lt;&gt;"",'Overall Decision'!J22,'Overall Decision'!K22)))</f>
        <v>0</v>
      </c>
    </row>
    <row r="7" spans="1:7" customHeight="1" ht="50.1">
      <c r="B7" s="17" t="str">
        <f>"Therefore, regarding " &amp; 'Overall Decision'!C2 &amp; " " &amp; 'Overall Decision'!B2 &amp; "'s thesis defence examination, the panel has reached the final resolution of:"</f>
        <v>0</v>
      </c>
    </row>
    <row r="8" spans="1:7" customHeight="1" ht="60">
      <c r="B8" s="18" t="str">
        <f>IF('Overall Decision'!C18&lt;&gt;"",'Overall Decision'!H24,IF('Overall Decision'!D18&lt;&gt;"",IF('Overall Decision'!D20&lt;&gt;"",'Overall Decision'!I25,'Overall Decision'!I24),IF('Overall Decision'!E18&lt;&gt;"",'Overall Decision'!J24,'Overall Decision'!K24)))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 Decision</vt:lpstr>
      <vt:lpstr>Decision Statement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Smarttou Cheok</dc:creator>
  <cp:lastModifiedBy>Smarttou Cheok</cp:lastModifiedBy>
  <dcterms:created xsi:type="dcterms:W3CDTF">2023-02-06T20:23:05+08:00</dcterms:created>
  <dcterms:modified xsi:type="dcterms:W3CDTF">2026-04-20T17:38:06+08:00</dcterms:modified>
  <dc:title>Defence Voting Resolution</dc:title>
  <dc:description/>
  <dc:subject/>
  <cp:keywords/>
  <cp:category/>
</cp:coreProperties>
</file>